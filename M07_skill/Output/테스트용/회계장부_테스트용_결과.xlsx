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영수증입력" sheetId="1" state="visible" r:id="rId1"/>
    <sheet name="회계장부" sheetId="2" state="visible" r:id="rId2"/>
    <sheet name="카테고리별집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2F5496"/>
      <sz val="14"/>
    </font>
    <font>
      <b val="1"/>
      <color rgb="00FFFFFF"/>
      <sz val="10"/>
    </font>
    <font>
      <sz val="10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7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64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3" customWidth="1" min="3" max="3"/>
    <col width="13" customWidth="1" min="4" max="4"/>
    <col width="13" customWidth="1" min="5" max="5"/>
    <col width="18" customWidth="1" min="6" max="6"/>
  </cols>
  <sheetData>
    <row r="1" ht="32" customHeight="1">
      <c r="A1" s="1" t="inlineStr">
        <is>
          <t>영수증 입력 장부</t>
        </is>
      </c>
    </row>
    <row r="2" ht="4" customHeight="1"/>
    <row r="3" ht="22" customHeight="1">
      <c r="A3" s="2" t="inlineStr">
        <is>
          <t>날짜</t>
        </is>
      </c>
      <c r="B3" s="2" t="inlineStr">
        <is>
          <t>가맹점명</t>
        </is>
      </c>
      <c r="C3" s="2" t="inlineStr">
        <is>
          <t>금액</t>
        </is>
      </c>
      <c r="D3" s="2" t="inlineStr">
        <is>
          <t>결제수단</t>
        </is>
      </c>
      <c r="E3" s="2" t="inlineStr">
        <is>
          <t>카테고리</t>
        </is>
      </c>
      <c r="F3" s="2" t="inlineStr">
        <is>
          <t>비고</t>
        </is>
      </c>
    </row>
    <row r="4" ht="18" customHeight="1">
      <c r="A4" s="3" t="inlineStr">
        <is>
          <t>2026-06-12</t>
        </is>
      </c>
      <c r="B4" s="4" t="inlineStr">
        <is>
          <t>제이비제이식당</t>
        </is>
      </c>
      <c r="C4" s="5" t="n">
        <v>33900</v>
      </c>
      <c r="D4" s="3" t="inlineStr">
        <is>
          <t>현금</t>
        </is>
      </c>
      <c r="E4" s="3" t="inlineStr">
        <is>
          <t>식비</t>
        </is>
      </c>
      <c r="F4" s="3" t="inlineStr">
        <is>
          <t>김밥·비빔밥·라면 외</t>
        </is>
      </c>
    </row>
    <row r="5" ht="18" customHeight="1">
      <c r="A5" s="6" t="inlineStr">
        <is>
          <t>2026-06-13</t>
        </is>
      </c>
      <c r="B5" s="7" t="inlineStr">
        <is>
          <t>클린세탁소</t>
        </is>
      </c>
      <c r="C5" s="8" t="n">
        <v>46000</v>
      </c>
      <c r="D5" s="6" t="inlineStr">
        <is>
          <t>체크카드</t>
        </is>
      </c>
      <c r="E5" s="6" t="inlineStr">
        <is>
          <t>기타</t>
        </is>
      </c>
      <c r="F5" s="6" t="inlineStr">
        <is>
          <t>세탁·수선</t>
        </is>
      </c>
    </row>
    <row r="6" ht="18" customHeight="1">
      <c r="A6" s="3" t="inlineStr">
        <is>
          <t>2026-06-14</t>
        </is>
      </c>
      <c r="B6" s="4" t="inlineStr">
        <is>
          <t>해봄플라워</t>
        </is>
      </c>
      <c r="C6" s="5" t="n">
        <v>49500</v>
      </c>
      <c r="D6" s="3" t="inlineStr">
        <is>
          <t>현금</t>
        </is>
      </c>
      <c r="E6" s="3" t="inlineStr">
        <is>
          <t>기타</t>
        </is>
      </c>
      <c r="F6" s="3" t="inlineStr">
        <is>
          <t>꽃다발·미니화분 외</t>
        </is>
      </c>
    </row>
    <row r="7" ht="18" customHeight="1">
      <c r="A7" s="6" t="inlineStr">
        <is>
          <t>2026-06-15</t>
        </is>
      </c>
      <c r="B7" s="7" t="inlineStr">
        <is>
          <t>스마트키친</t>
        </is>
      </c>
      <c r="C7" s="8" t="n">
        <v>23600</v>
      </c>
      <c r="D7" s="6" t="inlineStr">
        <is>
          <t>간편결제</t>
        </is>
      </c>
      <c r="E7" s="6" t="inlineStr">
        <is>
          <t>기타</t>
        </is>
      </c>
      <c r="F7" s="6" t="inlineStr">
        <is>
          <t>밀폐용기·수세미 외</t>
        </is>
      </c>
    </row>
    <row r="8" ht="18" customHeight="1">
      <c r="A8" s="3" t="inlineStr">
        <is>
          <t>2026-06-16</t>
        </is>
      </c>
      <c r="B8" s="4" t="inlineStr">
        <is>
          <t>오늘과일</t>
        </is>
      </c>
      <c r="C8" s="5" t="n">
        <v>43600</v>
      </c>
      <c r="D8" s="3" t="inlineStr">
        <is>
          <t>현금</t>
        </is>
      </c>
      <c r="E8" s="3" t="inlineStr">
        <is>
          <t>식비</t>
        </is>
      </c>
      <c r="F8" s="3" t="inlineStr">
        <is>
          <t>샐러드·사과·계란</t>
        </is>
      </c>
    </row>
    <row r="9" ht="18" customHeight="1">
      <c r="A9" s="6" t="inlineStr">
        <is>
          <t>2026-06-17</t>
        </is>
      </c>
      <c r="B9" s="7" t="inlineStr">
        <is>
          <t>피트니스샵</t>
        </is>
      </c>
      <c r="C9" s="8" t="n">
        <v>31500</v>
      </c>
      <c r="D9" s="6" t="inlineStr">
        <is>
          <t>현금</t>
        </is>
      </c>
      <c r="E9" s="6" t="inlineStr">
        <is>
          <t>기타</t>
        </is>
      </c>
      <c r="F9" s="6" t="inlineStr">
        <is>
          <t>손목보호대·단백질바 외</t>
        </is>
      </c>
    </row>
    <row r="10" ht="18" customHeight="1">
      <c r="A10" s="3" t="inlineStr">
        <is>
          <t>2026-06-18</t>
        </is>
      </c>
      <c r="B10" s="4" t="inlineStr">
        <is>
          <t>메이커스랩</t>
        </is>
      </c>
      <c r="C10" s="5" t="n">
        <v>38800</v>
      </c>
      <c r="D10" s="3" t="inlineStr">
        <is>
          <t>체크카드</t>
        </is>
      </c>
      <c r="E10" s="3" t="inlineStr">
        <is>
          <t>기타</t>
        </is>
      </c>
      <c r="F10" s="3" t="inlineStr">
        <is>
          <t>나사세트·센서모듈·드라이버</t>
        </is>
      </c>
    </row>
    <row r="11" ht="18" customHeight="1">
      <c r="A11" s="6" t="inlineStr">
        <is>
          <t>2026-06-19</t>
        </is>
      </c>
      <c r="B11" s="7" t="inlineStr">
        <is>
          <t>별빛극장 매점</t>
        </is>
      </c>
      <c r="C11" s="8" t="n">
        <v>42000</v>
      </c>
      <c r="D11" s="6" t="inlineStr">
        <is>
          <t>신용카드</t>
        </is>
      </c>
      <c r="E11" s="6" t="inlineStr">
        <is>
          <t>기타</t>
        </is>
      </c>
      <c r="F11" s="6" t="inlineStr">
        <is>
          <t>팝콘·나초·영화굿즈 외</t>
        </is>
      </c>
    </row>
    <row r="12" ht="18" customHeight="1">
      <c r="A12" s="3" t="inlineStr">
        <is>
          <t>2026-06-20</t>
        </is>
      </c>
      <c r="B12" s="4" t="inlineStr">
        <is>
          <t>행복주유소</t>
        </is>
      </c>
      <c r="C12" s="5" t="n">
        <v>87000</v>
      </c>
      <c r="D12" s="3" t="inlineStr">
        <is>
          <t>신용카드</t>
        </is>
      </c>
      <c r="E12" s="3" t="inlineStr">
        <is>
          <t>교통비</t>
        </is>
      </c>
      <c r="F12" s="3" t="inlineStr">
        <is>
          <t>휘발유·세차·워셔액</t>
        </is>
      </c>
    </row>
    <row r="13" ht="18" customHeight="1">
      <c r="A13" s="6" t="inlineStr">
        <is>
          <t>2026-06-21</t>
        </is>
      </c>
      <c r="B13" s="7" t="inlineStr">
        <is>
          <t>도담김밥</t>
        </is>
      </c>
      <c r="C13" s="8" t="n">
        <v>49400</v>
      </c>
      <c r="D13" s="6" t="inlineStr">
        <is>
          <t>신용카드</t>
        </is>
      </c>
      <c r="E13" s="6" t="inlineStr">
        <is>
          <t>식비</t>
        </is>
      </c>
      <c r="F13" s="6" t="inlineStr">
        <is>
          <t>돈까스·비빔밥·김밥 외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3" customWidth="1" min="1" max="1"/>
    <col width="28" customWidth="1" min="2" max="2"/>
    <col width="14" customWidth="1" min="3" max="3"/>
    <col width="14" customWidth="1" min="4" max="4"/>
    <col width="14" customWidth="1" min="5" max="5"/>
    <col width="13" customWidth="1" min="6" max="6"/>
  </cols>
  <sheetData>
    <row r="1" ht="32" customHeight="1">
      <c r="A1" s="1" t="inlineStr">
        <is>
          <t>회  계  장  부</t>
        </is>
      </c>
    </row>
    <row r="2" ht="4" customHeight="1"/>
    <row r="3" ht="22" customHeight="1">
      <c r="A3" s="2" t="inlineStr">
        <is>
          <t>날짜</t>
        </is>
      </c>
      <c r="B3" s="2" t="inlineStr">
        <is>
          <t>적요 (거래 내용)</t>
        </is>
      </c>
      <c r="C3" s="2" t="inlineStr">
        <is>
          <t>차변 (지출)</t>
        </is>
      </c>
      <c r="D3" s="2" t="inlineStr">
        <is>
          <t>대변 (수입)</t>
        </is>
      </c>
      <c r="E3" s="2" t="inlineStr">
        <is>
          <t>잔  액</t>
        </is>
      </c>
      <c r="F3" s="2" t="inlineStr">
        <is>
          <t>계정과목</t>
        </is>
      </c>
    </row>
    <row r="4" ht="18" customHeight="1">
      <c r="A4" s="3" t="inlineStr">
        <is>
          <t>2026-06-11</t>
        </is>
      </c>
      <c r="B4" s="4" t="inlineStr">
        <is>
          <t>전기이월 (기초잔액)</t>
        </is>
      </c>
      <c r="C4" s="5" t="n"/>
      <c r="D4" s="5" t="n">
        <v>500000</v>
      </c>
      <c r="E4" s="5">
        <f>D4</f>
        <v/>
      </c>
      <c r="F4" s="3" t="inlineStr">
        <is>
          <t>현금·예금</t>
        </is>
      </c>
    </row>
    <row r="5" ht="18" customHeight="1">
      <c r="A5" s="6" t="inlineStr">
        <is>
          <t>2026-06-12</t>
        </is>
      </c>
      <c r="B5" s="7" t="inlineStr">
        <is>
          <t>제이비제이식당 한식·분식</t>
        </is>
      </c>
      <c r="C5" s="8" t="n">
        <v>33900</v>
      </c>
      <c r="D5" s="8" t="n"/>
      <c r="E5" s="8">
        <f>E4-IF(ISNUMBER(C5),C5,0)+IF(ISNUMBER(D5),D5,0)</f>
        <v/>
      </c>
      <c r="F5" s="6" t="inlineStr">
        <is>
          <t>식비</t>
        </is>
      </c>
    </row>
    <row r="6" ht="18" customHeight="1">
      <c r="A6" s="3" t="inlineStr">
        <is>
          <t>2026-06-13</t>
        </is>
      </c>
      <c r="B6" s="4" t="inlineStr">
        <is>
          <t>클린세탁소 세탁 서비스</t>
        </is>
      </c>
      <c r="C6" s="5" t="n">
        <v>46000</v>
      </c>
      <c r="D6" s="5" t="n"/>
      <c r="E6" s="5">
        <f>E5-IF(ISNUMBER(C6),C6,0)+IF(ISNUMBER(D6),D6,0)</f>
        <v/>
      </c>
      <c r="F6" s="3" t="inlineStr">
        <is>
          <t>기타</t>
        </is>
      </c>
    </row>
    <row r="7" ht="18" customHeight="1">
      <c r="A7" s="6" t="inlineStr">
        <is>
          <t>2026-06-14</t>
        </is>
      </c>
      <c r="B7" s="7" t="inlineStr">
        <is>
          <t>해봄플라워 화훼</t>
        </is>
      </c>
      <c r="C7" s="8" t="n">
        <v>49500</v>
      </c>
      <c r="D7" s="8" t="n"/>
      <c r="E7" s="8">
        <f>E6-IF(ISNUMBER(C7),C7,0)+IF(ISNUMBER(D7),D7,0)</f>
        <v/>
      </c>
      <c r="F7" s="6" t="inlineStr">
        <is>
          <t>기타</t>
        </is>
      </c>
    </row>
    <row r="8" ht="18" customHeight="1">
      <c r="A8" s="3" t="inlineStr">
        <is>
          <t>2026-06-15</t>
        </is>
      </c>
      <c r="B8" s="4" t="inlineStr">
        <is>
          <t>스마트키친 주방·생활용품</t>
        </is>
      </c>
      <c r="C8" s="5" t="n">
        <v>23600</v>
      </c>
      <c r="D8" s="5" t="n"/>
      <c r="E8" s="5">
        <f>E7-IF(ISNUMBER(C8),C8,0)+IF(ISNUMBER(D8),D8,0)</f>
        <v/>
      </c>
      <c r="F8" s="3" t="inlineStr">
        <is>
          <t>기타</t>
        </is>
      </c>
    </row>
    <row r="9" ht="18" customHeight="1">
      <c r="A9" s="6" t="inlineStr">
        <is>
          <t>2026-06-16</t>
        </is>
      </c>
      <c r="B9" s="7" t="inlineStr">
        <is>
          <t>오늘과일 식료품</t>
        </is>
      </c>
      <c r="C9" s="8" t="n">
        <v>43600</v>
      </c>
      <c r="D9" s="8" t="n"/>
      <c r="E9" s="8">
        <f>E8-IF(ISNUMBER(C9),C9,0)+IF(ISNUMBER(D9),D9,0)</f>
        <v/>
      </c>
      <c r="F9" s="6" t="inlineStr">
        <is>
          <t>식비</t>
        </is>
      </c>
    </row>
    <row r="10" ht="18" customHeight="1">
      <c r="A10" s="3" t="inlineStr">
        <is>
          <t>2026-06-17</t>
        </is>
      </c>
      <c r="B10" s="4" t="inlineStr">
        <is>
          <t>피트니스샵 운동용품</t>
        </is>
      </c>
      <c r="C10" s="5" t="n">
        <v>31500</v>
      </c>
      <c r="D10" s="5" t="n"/>
      <c r="E10" s="5">
        <f>E9-IF(ISNUMBER(C10),C10,0)+IF(ISNUMBER(D10),D10,0)</f>
        <v/>
      </c>
      <c r="F10" s="3" t="inlineStr">
        <is>
          <t>기타</t>
        </is>
      </c>
    </row>
    <row r="11" ht="18" customHeight="1">
      <c r="A11" s="6" t="inlineStr">
        <is>
          <t>2026-06-18</t>
        </is>
      </c>
      <c r="B11" s="7" t="inlineStr">
        <is>
          <t>메이커스랩 전자부품·공구</t>
        </is>
      </c>
      <c r="C11" s="8" t="n">
        <v>38800</v>
      </c>
      <c r="D11" s="8" t="n"/>
      <c r="E11" s="8">
        <f>E10-IF(ISNUMBER(C11),C11,0)+IF(ISNUMBER(D11),D11,0)</f>
        <v/>
      </c>
      <c r="F11" s="6" t="inlineStr">
        <is>
          <t>기타</t>
        </is>
      </c>
    </row>
    <row r="12" ht="18" customHeight="1">
      <c r="A12" s="3" t="inlineStr">
        <is>
          <t>2026-06-19</t>
        </is>
      </c>
      <c r="B12" s="4" t="inlineStr">
        <is>
          <t>별빛극장 매점 영화관 매점</t>
        </is>
      </c>
      <c r="C12" s="5" t="n">
        <v>42000</v>
      </c>
      <c r="D12" s="5" t="n"/>
      <c r="E12" s="5">
        <f>E11-IF(ISNUMBER(C12),C12,0)+IF(ISNUMBER(D12),D12,0)</f>
        <v/>
      </c>
      <c r="F12" s="3" t="inlineStr">
        <is>
          <t>기타</t>
        </is>
      </c>
    </row>
    <row r="13" ht="18" customHeight="1">
      <c r="A13" s="6" t="inlineStr">
        <is>
          <t>2026-06-20</t>
        </is>
      </c>
      <c r="B13" s="7" t="inlineStr">
        <is>
          <t>행복주유소 주유·세차</t>
        </is>
      </c>
      <c r="C13" s="8" t="n">
        <v>87000</v>
      </c>
      <c r="D13" s="8" t="n"/>
      <c r="E13" s="8">
        <f>E12-IF(ISNUMBER(C13),C13,0)+IF(ISNUMBER(D13),D13,0)</f>
        <v/>
      </c>
      <c r="F13" s="6" t="inlineStr">
        <is>
          <t>교통비</t>
        </is>
      </c>
    </row>
    <row r="14" ht="18" customHeight="1">
      <c r="A14" s="3" t="inlineStr">
        <is>
          <t>2026-06-21</t>
        </is>
      </c>
      <c r="B14" s="4" t="inlineStr">
        <is>
          <t>도담김밥 한식·분식</t>
        </is>
      </c>
      <c r="C14" s="5" t="n">
        <v>49400</v>
      </c>
      <c r="D14" s="5" t="n"/>
      <c r="E14" s="5">
        <f>E13-IF(ISNUMBER(C14),C14,0)+IF(ISNUMBER(D14),D14,0)</f>
        <v/>
      </c>
      <c r="F14" s="3" t="inlineStr">
        <is>
          <t>식비</t>
        </is>
      </c>
    </row>
    <row r="15" ht="18" customHeight="1">
      <c r="A15" s="9" t="n"/>
      <c r="B15" s="10" t="inlineStr">
        <is>
          <t>합  계</t>
        </is>
      </c>
      <c r="C15" s="11">
        <f>SUM(C5:C14)</f>
        <v/>
      </c>
      <c r="D15" s="11">
        <f>SUM(D4:D14)</f>
        <v/>
      </c>
      <c r="E15" s="11">
        <f>E14</f>
        <v/>
      </c>
      <c r="F15" s="9" t="n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3" customWidth="1" min="3" max="3"/>
  </cols>
  <sheetData>
    <row r="1" ht="32" customHeight="1">
      <c r="A1" s="1" t="inlineStr">
        <is>
          <t>카테고리별 지출 집계</t>
        </is>
      </c>
    </row>
    <row r="2" ht="4" customHeight="1"/>
    <row r="3" ht="22" customHeight="1">
      <c r="A3" s="2" t="inlineStr">
        <is>
          <t>카테고리</t>
        </is>
      </c>
      <c r="B3" s="2" t="inlineStr">
        <is>
          <t>지출 합계</t>
        </is>
      </c>
      <c r="C3" s="2" t="inlineStr">
        <is>
          <t>비율 (%)</t>
        </is>
      </c>
    </row>
    <row r="4" ht="18" customHeight="1">
      <c r="A4" s="3" t="inlineStr">
        <is>
          <t>식비</t>
        </is>
      </c>
      <c r="B4" s="5">
        <f>SUMIF(영수증입력!E:E,A4,영수증입력!C:C)</f>
        <v/>
      </c>
      <c r="C4" s="12">
        <f>IF(B7=0,0,B4/B7)</f>
        <v/>
      </c>
    </row>
    <row r="5" ht="18" customHeight="1">
      <c r="A5" s="6" t="inlineStr">
        <is>
          <t>교통비</t>
        </is>
      </c>
      <c r="B5" s="8">
        <f>SUMIF(영수증입력!E:E,A5,영수증입력!C:C)</f>
        <v/>
      </c>
      <c r="C5" s="13">
        <f>IF(B7=0,0,B5/B7)</f>
        <v/>
      </c>
    </row>
    <row r="6" ht="18" customHeight="1">
      <c r="A6" s="3" t="inlineStr">
        <is>
          <t>기타</t>
        </is>
      </c>
      <c r="B6" s="5">
        <f>SUMIF(영수증입력!E:E,A6,영수증입력!C:C)</f>
        <v/>
      </c>
      <c r="C6" s="12">
        <f>IF(B7=0,0,B6/B7)</f>
        <v/>
      </c>
    </row>
    <row r="7" ht="18" customHeight="1">
      <c r="A7" s="14" t="inlineStr">
        <is>
          <t>합  계</t>
        </is>
      </c>
      <c r="B7" s="11">
        <f>SUM(B4:B6)</f>
        <v/>
      </c>
      <c r="C7" s="15">
        <f>IF(B7=0,0,1)</f>
        <v/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2026-07-16T06:51:43Z</dcterms:created>
  <dcterms:modified xsi:type="dcterms:W3CDTF">2026-07-16T06:51:43Z</dcterms:modified>
</cp:coreProperties>
</file>