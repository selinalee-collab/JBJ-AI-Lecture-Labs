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영수증입력" sheetId="1" state="visible" r:id="rId1"/>
    <sheet xmlns:r="http://schemas.openxmlformats.org/officeDocument/2006/relationships" name="회계장부" sheetId="2" state="visible" r:id="rId2"/>
    <sheet xmlns:r="http://schemas.openxmlformats.org/officeDocument/2006/relationships" name="카테고리별집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7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13" customWidth="1" min="4" max="4"/>
    <col width="13" customWidth="1" min="5" max="5"/>
    <col width="18" customWidth="1" min="6" max="6"/>
  </cols>
  <sheetData>
    <row r="1" ht="32" customHeight="1">
      <c r="A1" s="1" t="inlineStr">
        <is>
          <t>영수증 입력 장부</t>
        </is>
      </c>
    </row>
    <row r="2" ht="4" customHeight="1"/>
    <row r="3" ht="22" customHeight="1">
      <c r="A3" s="2" t="inlineStr">
        <is>
          <t>날짜</t>
        </is>
      </c>
      <c r="B3" s="2" t="inlineStr">
        <is>
          <t>가맹점명</t>
        </is>
      </c>
      <c r="C3" s="2" t="inlineStr">
        <is>
          <t>금액</t>
        </is>
      </c>
      <c r="D3" s="2" t="inlineStr">
        <is>
          <t>결제수단</t>
        </is>
      </c>
      <c r="E3" s="2" t="inlineStr">
        <is>
          <t>카테고리</t>
        </is>
      </c>
      <c r="F3" s="2" t="inlineStr">
        <is>
          <t>비고</t>
        </is>
      </c>
    </row>
    <row r="4" ht="18" customHeight="1">
      <c r="A4" s="3" t="inlineStr">
        <is>
          <t>2026-06-10</t>
        </is>
      </c>
      <c r="B4" s="4" t="inlineStr">
        <is>
          <t>스타벅스</t>
        </is>
      </c>
      <c r="C4" s="5" t="n">
        <v>6500</v>
      </c>
      <c r="D4" s="3" t="inlineStr">
        <is>
          <t>신용카드</t>
        </is>
      </c>
      <c r="E4" s="3" t="inlineStr">
        <is>
          <t>식비</t>
        </is>
      </c>
      <c r="F4" s="3" t="inlineStr">
        <is>
          <t>아메리카노</t>
        </is>
      </c>
    </row>
    <row r="5" ht="18" customHeight="1">
      <c r="A5" s="6" t="inlineStr">
        <is>
          <t>2026-06-11</t>
        </is>
      </c>
      <c r="B5" s="7" t="inlineStr">
        <is>
          <t>서울 지하철</t>
        </is>
      </c>
      <c r="C5" s="8" t="n">
        <v>1350</v>
      </c>
      <c r="D5" s="6" t="inlineStr">
        <is>
          <t>교통카드</t>
        </is>
      </c>
      <c r="E5" s="6" t="inlineStr">
        <is>
          <t>교통비</t>
        </is>
      </c>
      <c r="F5" s="6" t="inlineStr"/>
    </row>
    <row r="6" ht="18" customHeight="1">
      <c r="A6" s="3" t="inlineStr">
        <is>
          <t>2026-06-12</t>
        </is>
      </c>
      <c r="B6" s="4" t="inlineStr">
        <is>
          <t>교보문고</t>
        </is>
      </c>
      <c r="C6" s="5" t="n">
        <v>18000</v>
      </c>
      <c r="D6" s="3" t="inlineStr">
        <is>
          <t>신용카드</t>
        </is>
      </c>
      <c r="E6" s="3" t="inlineStr">
        <is>
          <t>도서비</t>
        </is>
      </c>
      <c r="F6" s="3" t="inlineStr">
        <is>
          <t>전공서적</t>
        </is>
      </c>
    </row>
    <row r="7" ht="18" customHeight="1">
      <c r="A7" s="6" t="inlineStr">
        <is>
          <t>2026-06-13</t>
        </is>
      </c>
      <c r="B7" s="7" t="inlineStr">
        <is>
          <t>CU 편의점</t>
        </is>
      </c>
      <c r="C7" s="8" t="n">
        <v>4200</v>
      </c>
      <c r="D7" s="6" t="inlineStr">
        <is>
          <t>현금</t>
        </is>
      </c>
      <c r="E7" s="6" t="inlineStr">
        <is>
          <t>식비</t>
        </is>
      </c>
      <c r="F7" s="6" t="inlineStr">
        <is>
          <t>간식</t>
        </is>
      </c>
    </row>
    <row r="8" ht="18" customHeight="1">
      <c r="A8" s="3" t="inlineStr">
        <is>
          <t>2026-06-13</t>
        </is>
      </c>
      <c r="B8" s="4" t="inlineStr">
        <is>
          <t>코레일 KTX</t>
        </is>
      </c>
      <c r="C8" s="5" t="n">
        <v>25000</v>
      </c>
      <c r="D8" s="3" t="inlineStr">
        <is>
          <t>신용카드</t>
        </is>
      </c>
      <c r="E8" s="3" t="inlineStr">
        <is>
          <t>교통비</t>
        </is>
      </c>
      <c r="F8" s="3" t="inlineStr">
        <is>
          <t>출장</t>
        </is>
      </c>
    </row>
    <row r="9" ht="18" customHeight="1">
      <c r="A9" s="6" t="inlineStr">
        <is>
          <t>2026-06-14</t>
        </is>
      </c>
      <c r="B9" s="7" t="inlineStr">
        <is>
          <t>다이소</t>
        </is>
      </c>
      <c r="C9" s="8" t="n">
        <v>8900</v>
      </c>
      <c r="D9" s="6" t="inlineStr">
        <is>
          <t>신용카드</t>
        </is>
      </c>
      <c r="E9" s="6" t="inlineStr">
        <is>
          <t>사무용품</t>
        </is>
      </c>
      <c r="F9" s="6" t="inlineStr">
        <is>
          <t>문구류</t>
        </is>
      </c>
    </row>
    <row r="10" ht="18" customHeight="1">
      <c r="A10" s="3" t="inlineStr">
        <is>
          <t>2026-06-14</t>
        </is>
      </c>
      <c r="B10" s="4" t="inlineStr">
        <is>
          <t>한식당</t>
        </is>
      </c>
      <c r="C10" s="5" t="n">
        <v>12000</v>
      </c>
      <c r="D10" s="3" t="inlineStr">
        <is>
          <t>현금</t>
        </is>
      </c>
      <c r="E10" s="3" t="inlineStr">
        <is>
          <t>식비</t>
        </is>
      </c>
      <c r="F10" s="3" t="inlineStr">
        <is>
          <t>점심식사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14" customWidth="1" min="3" max="3"/>
    <col width="14" customWidth="1" min="4" max="4"/>
    <col width="14" customWidth="1" min="5" max="5"/>
    <col width="13" customWidth="1" min="6" max="6"/>
  </cols>
  <sheetData>
    <row r="1" ht="32" customHeight="1">
      <c r="A1" s="1" t="inlineStr">
        <is>
          <t>회  계  장  부</t>
        </is>
      </c>
    </row>
    <row r="2" ht="4" customHeight="1"/>
    <row r="3" ht="22" customHeight="1">
      <c r="A3" s="2" t="inlineStr">
        <is>
          <t>날짜</t>
        </is>
      </c>
      <c r="B3" s="2" t="inlineStr">
        <is>
          <t>적요 (거래 내용)</t>
        </is>
      </c>
      <c r="C3" s="2" t="inlineStr">
        <is>
          <t>차변 (지출)</t>
        </is>
      </c>
      <c r="D3" s="2" t="inlineStr">
        <is>
          <t>대변 (수입)</t>
        </is>
      </c>
      <c r="E3" s="2" t="inlineStr">
        <is>
          <t>잔  액</t>
        </is>
      </c>
      <c r="F3" s="2" t="inlineStr">
        <is>
          <t>계정과목</t>
        </is>
      </c>
    </row>
    <row r="4" ht="18" customHeight="1">
      <c r="A4" s="3" t="inlineStr">
        <is>
          <t>2026-06-01</t>
        </is>
      </c>
      <c r="B4" s="4" t="inlineStr">
        <is>
          <t>전기이월 (기초잔액)</t>
        </is>
      </c>
      <c r="C4" s="5" t="n"/>
      <c r="D4" s="5" t="n">
        <v>500000</v>
      </c>
      <c r="E4" s="5">
        <f>D4</f>
        <v/>
      </c>
      <c r="F4" s="3" t="inlineStr">
        <is>
          <t>현금·예금</t>
        </is>
      </c>
    </row>
    <row r="5" ht="18" customHeight="1">
      <c r="A5" s="6" t="inlineStr">
        <is>
          <t>2026-06-10</t>
        </is>
      </c>
      <c r="B5" s="7" t="inlineStr">
        <is>
          <t>스타벅스 커피</t>
        </is>
      </c>
      <c r="C5" s="8" t="n">
        <v>6500</v>
      </c>
      <c r="D5" s="8" t="n"/>
      <c r="E5" s="8">
        <f>E4-IF(ISNUMBER(C5),C5,0)+IF(ISNUMBER(D5),D5,0)</f>
        <v/>
      </c>
      <c r="F5" s="6" t="inlineStr">
        <is>
          <t>식비</t>
        </is>
      </c>
    </row>
    <row r="6" ht="18" customHeight="1">
      <c r="A6" s="3" t="inlineStr">
        <is>
          <t>2026-06-11</t>
        </is>
      </c>
      <c r="B6" s="4" t="inlineStr">
        <is>
          <t>서울 지하철 교통비</t>
        </is>
      </c>
      <c r="C6" s="5" t="n">
        <v>1350</v>
      </c>
      <c r="D6" s="5" t="n"/>
      <c r="E6" s="5">
        <f>E5-IF(ISNUMBER(C6),C6,0)+IF(ISNUMBER(D6),D6,0)</f>
        <v/>
      </c>
      <c r="F6" s="3" t="inlineStr">
        <is>
          <t>교통비</t>
        </is>
      </c>
    </row>
    <row r="7" ht="18" customHeight="1">
      <c r="A7" s="6" t="inlineStr">
        <is>
          <t>2026-06-12</t>
        </is>
      </c>
      <c r="B7" s="7" t="inlineStr">
        <is>
          <t>교보문고 도서 구입</t>
        </is>
      </c>
      <c r="C7" s="8" t="n">
        <v>18000</v>
      </c>
      <c r="D7" s="8" t="n"/>
      <c r="E7" s="8">
        <f>E6-IF(ISNUMBER(C7),C7,0)+IF(ISNUMBER(D7),D7,0)</f>
        <v/>
      </c>
      <c r="F7" s="6" t="inlineStr">
        <is>
          <t>도서비</t>
        </is>
      </c>
    </row>
    <row r="8" ht="18" customHeight="1">
      <c r="A8" s="3" t="inlineStr">
        <is>
          <t>2026-06-13</t>
        </is>
      </c>
      <c r="B8" s="4" t="inlineStr">
        <is>
          <t>CU 편의점 간식</t>
        </is>
      </c>
      <c r="C8" s="5" t="n">
        <v>4200</v>
      </c>
      <c r="D8" s="5" t="n"/>
      <c r="E8" s="5">
        <f>E7-IF(ISNUMBER(C8),C8,0)+IF(ISNUMBER(D8),D8,0)</f>
        <v/>
      </c>
      <c r="F8" s="3" t="inlineStr">
        <is>
          <t>식비</t>
        </is>
      </c>
    </row>
    <row r="9" ht="18" customHeight="1">
      <c r="A9" s="6" t="inlineStr">
        <is>
          <t>2026-06-13</t>
        </is>
      </c>
      <c r="B9" s="7" t="inlineStr">
        <is>
          <t>코레일 KTX 출장</t>
        </is>
      </c>
      <c r="C9" s="8" t="n">
        <v>25000</v>
      </c>
      <c r="D9" s="8" t="n"/>
      <c r="E9" s="8">
        <f>E8-IF(ISNUMBER(C9),C9,0)+IF(ISNUMBER(D9),D9,0)</f>
        <v/>
      </c>
      <c r="F9" s="6" t="inlineStr">
        <is>
          <t>교통비</t>
        </is>
      </c>
    </row>
    <row r="10" ht="18" customHeight="1">
      <c r="A10" s="3" t="inlineStr">
        <is>
          <t>2026-06-14</t>
        </is>
      </c>
      <c r="B10" s="4" t="inlineStr">
        <is>
          <t>다이소 문구류</t>
        </is>
      </c>
      <c r="C10" s="5" t="n">
        <v>8900</v>
      </c>
      <c r="D10" s="5" t="n"/>
      <c r="E10" s="5">
        <f>E9-IF(ISNUMBER(C10),C10,0)+IF(ISNUMBER(D10),D10,0)</f>
        <v/>
      </c>
      <c r="F10" s="3" t="inlineStr">
        <is>
          <t>사무용품</t>
        </is>
      </c>
    </row>
    <row r="11" ht="18" customHeight="1">
      <c r="A11" s="6" t="inlineStr">
        <is>
          <t>2026-06-14</t>
        </is>
      </c>
      <c r="B11" s="7" t="inlineStr">
        <is>
          <t>한식당 점심</t>
        </is>
      </c>
      <c r="C11" s="8" t="n">
        <v>12000</v>
      </c>
      <c r="D11" s="8" t="n"/>
      <c r="E11" s="8">
        <f>E10-IF(ISNUMBER(C11),C11,0)+IF(ISNUMBER(D11),D11,0)</f>
        <v/>
      </c>
      <c r="F11" s="6" t="inlineStr">
        <is>
          <t>식비</t>
        </is>
      </c>
    </row>
    <row r="12" ht="20" customHeight="1">
      <c r="A12" s="9" t="n"/>
      <c r="B12" s="10" t="inlineStr">
        <is>
          <t>합  계</t>
        </is>
      </c>
      <c r="C12" s="11">
        <f>SUM(C5:C11)</f>
        <v/>
      </c>
      <c r="D12" s="11">
        <f>SUM(D4:D11)</f>
        <v/>
      </c>
      <c r="E12" s="11">
        <f>E11</f>
        <v/>
      </c>
      <c r="F12" s="9" t="n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30A0"/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3" customWidth="1" min="3" max="3"/>
  </cols>
  <sheetData>
    <row r="1" ht="32" customHeight="1">
      <c r="A1" s="1" t="inlineStr">
        <is>
          <t>카테고리별 지출 집계</t>
        </is>
      </c>
    </row>
    <row r="2" ht="4" customHeight="1"/>
    <row r="3" ht="22" customHeight="1">
      <c r="A3" s="2" t="inlineStr">
        <is>
          <t>카테고리</t>
        </is>
      </c>
      <c r="B3" s="2" t="inlineStr">
        <is>
          <t>지출 합계</t>
        </is>
      </c>
      <c r="C3" s="2" t="inlineStr">
        <is>
          <t>비율 (%)</t>
        </is>
      </c>
    </row>
    <row r="4" ht="18" customHeight="1">
      <c r="A4" s="3" t="inlineStr">
        <is>
          <t>식비</t>
        </is>
      </c>
      <c r="B4" s="5">
        <f>SUMIF(영수증입력!E:E,A4,영수증입력!C:C)</f>
        <v/>
      </c>
      <c r="C4" s="12">
        <f>IF(B8=0,0,B4/B8)</f>
        <v/>
      </c>
    </row>
    <row r="5" ht="18" customHeight="1">
      <c r="A5" s="6" t="inlineStr">
        <is>
          <t>교통비</t>
        </is>
      </c>
      <c r="B5" s="8">
        <f>SUMIF(영수증입력!E:E,A5,영수증입력!C:C)</f>
        <v/>
      </c>
      <c r="C5" s="13">
        <f>IF(B8=0,0,B5/B8)</f>
        <v/>
      </c>
    </row>
    <row r="6" ht="18" customHeight="1">
      <c r="A6" s="3" t="inlineStr">
        <is>
          <t>도서비</t>
        </is>
      </c>
      <c r="B6" s="5">
        <f>SUMIF(영수증입력!E:E,A6,영수증입력!C:C)</f>
        <v/>
      </c>
      <c r="C6" s="12">
        <f>IF(B8=0,0,B6/B8)</f>
        <v/>
      </c>
    </row>
    <row r="7" ht="18" customHeight="1">
      <c r="A7" s="6" t="inlineStr">
        <is>
          <t>사무용품</t>
        </is>
      </c>
      <c r="B7" s="8">
        <f>SUMIF(영수증입력!E:E,A7,영수증입력!C:C)</f>
        <v/>
      </c>
      <c r="C7" s="13">
        <f>IF(B8=0,0,B7/B8)</f>
        <v/>
      </c>
    </row>
    <row r="8" ht="20" customHeight="1">
      <c r="A8" s="9" t="inlineStr">
        <is>
          <t>합  계</t>
        </is>
      </c>
      <c r="B8" s="11">
        <f>SUM(B4:B7)</f>
        <v/>
      </c>
      <c r="C8" s="14">
        <f>IF(B8=0,0,1)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2026-06-14T15:36:18Z</dcterms:created>
  <dcterms:modified xmlns:dcterms="http://purl.org/dc/terms/" xmlns:xsi="http://www.w3.org/2001/XMLSchema-instance" xsi:type="dcterms:W3CDTF">2026-06-14T15:36:50Z</dcterms:modified>
</cp:coreProperties>
</file>